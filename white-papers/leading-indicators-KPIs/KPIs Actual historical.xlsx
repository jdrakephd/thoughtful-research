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cunhamv_uga_edu/Documents/_UGA/Consulting/Thoughtful/"/>
    </mc:Choice>
  </mc:AlternateContent>
  <xr:revisionPtr revIDLastSave="1" documentId="13_ncr:1_{108193C3-12E0-4D19-A4C9-5E1327F25395}" xr6:coauthVersionLast="47" xr6:coauthVersionMax="47" xr10:uidLastSave="{A8948931-D657-4AFA-B19C-EA55684FC2D9}"/>
  <bookViews>
    <workbookView xWindow="-108" yWindow="-108" windowWidth="23256" windowHeight="12456" xr2:uid="{96DA0C8E-C2E3-4591-962A-6C248B675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AA28" i="1"/>
  <c r="AA29" i="1"/>
  <c r="AA30" i="1"/>
  <c r="AA31" i="1"/>
  <c r="AA5" i="1"/>
  <c r="AA14" i="1"/>
  <c r="AA16" i="1"/>
  <c r="AA17" i="1"/>
  <c r="AA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AB20" i="1"/>
  <c r="AB19" i="1"/>
  <c r="AB18" i="1"/>
  <c r="AB17" i="1"/>
  <c r="AB8" i="1"/>
  <c r="AB5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" i="1"/>
  <c r="Z31" i="1"/>
  <c r="W24" i="1"/>
  <c r="W25" i="1"/>
  <c r="W26" i="1"/>
  <c r="W27" i="1"/>
  <c r="W28" i="1"/>
  <c r="W29" i="1"/>
  <c r="W30" i="1"/>
  <c r="W31" i="1"/>
  <c r="Y28" i="1"/>
  <c r="AB28" i="1" s="1"/>
  <c r="Y29" i="1"/>
  <c r="AB29" i="1" s="1"/>
  <c r="Y30" i="1"/>
  <c r="AB30" i="1" s="1"/>
  <c r="Y31" i="1"/>
  <c r="AB31" i="1" s="1"/>
  <c r="X27" i="1"/>
  <c r="AA27" i="1" s="1"/>
  <c r="X28" i="1"/>
  <c r="X29" i="1"/>
  <c r="X30" i="1"/>
  <c r="X31" i="1"/>
  <c r="T28" i="1"/>
  <c r="U28" i="1"/>
  <c r="V28" i="1"/>
  <c r="T29" i="1"/>
  <c r="U29" i="1"/>
  <c r="V29" i="1"/>
  <c r="T30" i="1"/>
  <c r="U30" i="1"/>
  <c r="V30" i="1"/>
  <c r="T31" i="1"/>
  <c r="U31" i="1"/>
  <c r="V31" i="1"/>
  <c r="T27" i="1"/>
  <c r="U27" i="1"/>
  <c r="V27" i="1"/>
  <c r="Y27" i="1"/>
  <c r="AB27" i="1" s="1"/>
  <c r="M31" i="1"/>
  <c r="M30" i="1"/>
  <c r="Z30" i="1" s="1"/>
  <c r="M29" i="1"/>
  <c r="Z29" i="1" s="1"/>
  <c r="M28" i="1"/>
  <c r="Z28" i="1" s="1"/>
  <c r="M27" i="1"/>
  <c r="Z27" i="1" s="1"/>
  <c r="Y26" i="1"/>
  <c r="AB26" i="1" s="1"/>
  <c r="X26" i="1"/>
  <c r="V26" i="1"/>
  <c r="U26" i="1"/>
  <c r="T26" i="1"/>
  <c r="S26" i="1"/>
  <c r="AA26" i="1" s="1"/>
  <c r="M26" i="1"/>
  <c r="Z26" i="1" s="1"/>
  <c r="Y25" i="1"/>
  <c r="AB25" i="1" s="1"/>
  <c r="X25" i="1"/>
  <c r="AA25" i="1" s="1"/>
  <c r="V25" i="1"/>
  <c r="U25" i="1"/>
  <c r="T25" i="1"/>
  <c r="S25" i="1"/>
  <c r="M25" i="1"/>
  <c r="Z25" i="1" s="1"/>
  <c r="Y24" i="1"/>
  <c r="AB24" i="1" s="1"/>
  <c r="X24" i="1"/>
  <c r="AA24" i="1" s="1"/>
  <c r="V24" i="1"/>
  <c r="U24" i="1"/>
  <c r="T24" i="1"/>
  <c r="S24" i="1"/>
  <c r="M24" i="1"/>
  <c r="Z24" i="1" s="1"/>
  <c r="Y23" i="1"/>
  <c r="X23" i="1"/>
  <c r="W23" i="1"/>
  <c r="V23" i="1"/>
  <c r="U23" i="1"/>
  <c r="T23" i="1"/>
  <c r="AB23" i="1" s="1"/>
  <c r="S23" i="1"/>
  <c r="AA23" i="1" s="1"/>
  <c r="M23" i="1"/>
  <c r="Z23" i="1" s="1"/>
  <c r="Y22" i="1"/>
  <c r="AB22" i="1" s="1"/>
  <c r="X22" i="1"/>
  <c r="AA22" i="1" s="1"/>
  <c r="W22" i="1"/>
  <c r="V22" i="1"/>
  <c r="U22" i="1"/>
  <c r="T22" i="1"/>
  <c r="S22" i="1"/>
  <c r="M22" i="1"/>
  <c r="Z22" i="1" s="1"/>
  <c r="Y21" i="1"/>
  <c r="X21" i="1"/>
  <c r="AA21" i="1" s="1"/>
  <c r="W21" i="1"/>
  <c r="V21" i="1"/>
  <c r="U21" i="1"/>
  <c r="T21" i="1"/>
  <c r="AB21" i="1" s="1"/>
  <c r="S21" i="1"/>
  <c r="M21" i="1"/>
  <c r="Z21" i="1" s="1"/>
  <c r="Y20" i="1"/>
  <c r="X20" i="1"/>
  <c r="AA20" i="1" s="1"/>
  <c r="W20" i="1"/>
  <c r="V20" i="1"/>
  <c r="U20" i="1"/>
  <c r="T20" i="1"/>
  <c r="S20" i="1"/>
  <c r="M20" i="1"/>
  <c r="Z20" i="1" s="1"/>
  <c r="Y19" i="1"/>
  <c r="X19" i="1"/>
  <c r="AA19" i="1" s="1"/>
  <c r="W19" i="1"/>
  <c r="V19" i="1"/>
  <c r="U19" i="1"/>
  <c r="T19" i="1"/>
  <c r="S19" i="1"/>
  <c r="M19" i="1"/>
  <c r="Z19" i="1" s="1"/>
  <c r="Y18" i="1"/>
  <c r="X18" i="1"/>
  <c r="AA18" i="1" s="1"/>
  <c r="W18" i="1"/>
  <c r="V18" i="1"/>
  <c r="U18" i="1"/>
  <c r="T18" i="1"/>
  <c r="S18" i="1"/>
  <c r="M18" i="1"/>
  <c r="Z18" i="1" s="1"/>
  <c r="Y17" i="1"/>
  <c r="X17" i="1"/>
  <c r="W17" i="1"/>
  <c r="V17" i="1"/>
  <c r="U17" i="1"/>
  <c r="T17" i="1"/>
  <c r="S17" i="1"/>
  <c r="M17" i="1"/>
  <c r="Z17" i="1" s="1"/>
  <c r="Y16" i="1"/>
  <c r="AB16" i="1" s="1"/>
  <c r="X16" i="1"/>
  <c r="W16" i="1"/>
  <c r="V16" i="1"/>
  <c r="U16" i="1"/>
  <c r="T16" i="1"/>
  <c r="S16" i="1"/>
  <c r="M16" i="1"/>
  <c r="Z16" i="1" s="1"/>
  <c r="Z15" i="1"/>
  <c r="Y15" i="1"/>
  <c r="AB15" i="1" s="1"/>
  <c r="X15" i="1"/>
  <c r="W15" i="1"/>
  <c r="V15" i="1"/>
  <c r="U15" i="1"/>
  <c r="T15" i="1"/>
  <c r="S15" i="1"/>
  <c r="AA15" i="1" s="1"/>
  <c r="M15" i="1"/>
  <c r="Y14" i="1"/>
  <c r="AB14" i="1" s="1"/>
  <c r="X14" i="1"/>
  <c r="W14" i="1"/>
  <c r="V14" i="1"/>
  <c r="U14" i="1"/>
  <c r="T14" i="1"/>
  <c r="S14" i="1"/>
  <c r="M14" i="1"/>
  <c r="Z14" i="1" s="1"/>
  <c r="Y13" i="1"/>
  <c r="AB13" i="1" s="1"/>
  <c r="X13" i="1"/>
  <c r="AA13" i="1" s="1"/>
  <c r="W13" i="1"/>
  <c r="V13" i="1"/>
  <c r="U13" i="1"/>
  <c r="T13" i="1"/>
  <c r="S13" i="1"/>
  <c r="M13" i="1"/>
  <c r="Z13" i="1" s="1"/>
  <c r="Y12" i="1"/>
  <c r="AB12" i="1" s="1"/>
  <c r="X12" i="1"/>
  <c r="AA12" i="1" s="1"/>
  <c r="W12" i="1"/>
  <c r="V12" i="1"/>
  <c r="U12" i="1"/>
  <c r="T12" i="1"/>
  <c r="S12" i="1"/>
  <c r="M12" i="1"/>
  <c r="Z12" i="1" s="1"/>
  <c r="Y11" i="1"/>
  <c r="X11" i="1"/>
  <c r="W11" i="1"/>
  <c r="V11" i="1"/>
  <c r="U11" i="1"/>
  <c r="T11" i="1"/>
  <c r="AB11" i="1" s="1"/>
  <c r="S11" i="1"/>
  <c r="AA11" i="1" s="1"/>
  <c r="M11" i="1"/>
  <c r="Z11" i="1" s="1"/>
  <c r="Y10" i="1"/>
  <c r="AB10" i="1" s="1"/>
  <c r="X10" i="1"/>
  <c r="AA10" i="1" s="1"/>
  <c r="W10" i="1"/>
  <c r="V10" i="1"/>
  <c r="U10" i="1"/>
  <c r="T10" i="1"/>
  <c r="S10" i="1"/>
  <c r="M10" i="1"/>
  <c r="Z10" i="1" s="1"/>
  <c r="Y9" i="1"/>
  <c r="X9" i="1"/>
  <c r="AA9" i="1" s="1"/>
  <c r="W9" i="1"/>
  <c r="V9" i="1"/>
  <c r="U9" i="1"/>
  <c r="T9" i="1"/>
  <c r="AB9" i="1" s="1"/>
  <c r="S9" i="1"/>
  <c r="M9" i="1"/>
  <c r="Z9" i="1" s="1"/>
  <c r="Y8" i="1"/>
  <c r="X8" i="1"/>
  <c r="AA8" i="1" s="1"/>
  <c r="W8" i="1"/>
  <c r="V8" i="1"/>
  <c r="U8" i="1"/>
  <c r="T8" i="1"/>
  <c r="S8" i="1"/>
  <c r="M8" i="1"/>
  <c r="Z8" i="1" s="1"/>
  <c r="Y7" i="1"/>
  <c r="AB7" i="1" s="1"/>
  <c r="X7" i="1"/>
  <c r="AA7" i="1" s="1"/>
  <c r="W7" i="1"/>
  <c r="V7" i="1"/>
  <c r="U7" i="1"/>
  <c r="T7" i="1"/>
  <c r="S7" i="1"/>
  <c r="M7" i="1"/>
  <c r="Z7" i="1" s="1"/>
  <c r="Y6" i="1"/>
  <c r="X6" i="1"/>
  <c r="AA6" i="1" s="1"/>
  <c r="W6" i="1"/>
  <c r="V6" i="1"/>
  <c r="U6" i="1"/>
  <c r="T6" i="1"/>
  <c r="AB6" i="1" s="1"/>
  <c r="S6" i="1"/>
  <c r="M6" i="1"/>
  <c r="Z6" i="1" s="1"/>
  <c r="Y5" i="1"/>
  <c r="X5" i="1"/>
  <c r="W5" i="1"/>
  <c r="V5" i="1"/>
  <c r="U5" i="1"/>
  <c r="T5" i="1"/>
  <c r="S5" i="1"/>
  <c r="M5" i="1"/>
  <c r="Z5" i="1" s="1"/>
  <c r="Y4" i="1"/>
  <c r="AB4" i="1" s="1"/>
  <c r="X4" i="1"/>
  <c r="AA4" i="1" s="1"/>
  <c r="W4" i="1"/>
  <c r="V4" i="1"/>
  <c r="U4" i="1"/>
  <c r="T4" i="1"/>
  <c r="S4" i="1"/>
  <c r="M4" i="1"/>
  <c r="Z4" i="1" s="1"/>
  <c r="Z3" i="1"/>
  <c r="Y3" i="1"/>
  <c r="AB3" i="1" s="1"/>
  <c r="X3" i="1"/>
  <c r="W3" i="1"/>
  <c r="V3" i="1"/>
  <c r="U3" i="1"/>
  <c r="T3" i="1"/>
  <c r="S3" i="1"/>
  <c r="M3" i="1"/>
</calcChain>
</file>

<file path=xl/sharedStrings.xml><?xml version="1.0" encoding="utf-8"?>
<sst xmlns="http://schemas.openxmlformats.org/spreadsheetml/2006/main" count="93" uniqueCount="44">
  <si>
    <t>Clients</t>
  </si>
  <si>
    <t>MRR</t>
  </si>
  <si>
    <t>NMRR</t>
  </si>
  <si>
    <t>Expansion</t>
  </si>
  <si>
    <t>New Clients</t>
  </si>
  <si>
    <t>Churn</t>
  </si>
  <si>
    <t>ARR</t>
  </si>
  <si>
    <t>Churn Rate</t>
  </si>
  <si>
    <t>[ # ]</t>
  </si>
  <si>
    <t>[ R$ ]</t>
  </si>
  <si>
    <t>[ % ]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</si>
  <si>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</si>
  <si>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</si>
  <si>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</si>
  <si>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</si>
  <si>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</si>
  <si>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</si>
  <si>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</si>
  <si>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</si>
  <si>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</si>
  <si>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</si>
  <si>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</si>
  <si>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</si>
  <si>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[ US$ ]</t>
  </si>
  <si>
    <t>Monthly Recurring Revenue</t>
  </si>
  <si>
    <t>New Revenue from current clients</t>
  </si>
  <si>
    <t># of New clients</t>
  </si>
  <si>
    <t># of clients</t>
  </si>
  <si>
    <t>Churn MRR</t>
  </si>
  <si>
    <t>Recurring revenue lost from Churn</t>
  </si>
  <si>
    <t>Annual RR (MRR*12)</t>
  </si>
  <si>
    <t>New MRR (incremental from new clients)</t>
  </si>
  <si>
    <t># of Clients that cancelled</t>
  </si>
  <si>
    <t>Clients lost/clients</t>
  </si>
  <si>
    <t>Lost MRR from churn (Churn MMR/MRR)</t>
  </si>
  <si>
    <t>Year</t>
  </si>
  <si>
    <t>Month</t>
  </si>
  <si>
    <t>Feb</t>
  </si>
  <si>
    <t>Apr</t>
  </si>
  <si>
    <t>May</t>
  </si>
  <si>
    <t>Churrn MRR Rate</t>
  </si>
  <si>
    <t>Churrn MRR %</t>
  </si>
  <si>
    <t>Legend</t>
  </si>
  <si>
    <t>Excahnge rate year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</si>
</sst>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\-mmm"/>
    <numFmt numFmtId="165" formatCode="#,##0;\(#,##0\);&quot;–&quot;;@"/>
    <numFmt numFmtId="166" formatCode="0.0%"/>
    <numFmt numFmtId="167" formatCode="#,##0.00;\(#,##0.00\);&quot;–&quot;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Nunito"/>
    </font>
    <font>
      <b/>
      <sz val="10"/>
      <color theme="1"/>
      <name val="Nunito"/>
    </font>
    <font>
      <sz val="10"/>
      <name val="Nunito"/>
    </font>
    <font>
      <sz val="10"/>
      <color theme="1"/>
      <name val="Nunito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 vertical="center"/>
    </xf>
    <xf numFmtId="0" fontId="5" fillId="0" borderId="0" xfId="0" applyFont="1"/>
    <xf numFmtId="0" fontId="7" fillId="0" borderId="0" xfId="0" applyFont="1"/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13FE-825C-467D-8A53-6526C09BF1CE}">
  <dimension ref="A1:AB31"/>
  <sheetViews>
    <sheetView tabSelected="1" workbookViewId="0">
      <selection activeCell="C28" sqref="C28"/>
    </sheetView>
  </sheetViews>
  <sheetFormatPr defaultRowHeight="14.4" x14ac:dyDescent="0.3"/>
  <cols>
    <col min="1" max="1" width="14.44140625" bestFit="1" customWidth="1"/>
    <col min="2" max="2" width="38.33203125" bestFit="1" customWidth="1"/>
    <col min="3" max="3" width="18.88671875" bestFit="1" customWidth="1"/>
    <col min="6" max="6" width="6.88671875" bestFit="1" customWidth="1"/>
    <col min="7" max="7" width="8.109375" bestFit="1" customWidth="1"/>
    <col min="8" max="8" width="7" bestFit="1" customWidth="1"/>
    <col min="9" max="9" width="9.77734375" bestFit="1" customWidth="1"/>
    <col min="10" max="10" width="11.33203125" bestFit="1" customWidth="1"/>
    <col min="11" max="11" width="6.21875" bestFit="1" customWidth="1"/>
    <col min="12" max="12" width="10.77734375" bestFit="1" customWidth="1"/>
    <col min="13" max="13" width="9.6640625" bestFit="1" customWidth="1"/>
    <col min="14" max="14" width="10.5546875" bestFit="1" customWidth="1"/>
    <col min="15" max="15" width="15.88671875" bestFit="1" customWidth="1"/>
    <col min="16" max="16" width="6" customWidth="1"/>
    <col min="17" max="17" width="21.109375" bestFit="1" customWidth="1"/>
    <col min="18" max="18" width="5.77734375" customWidth="1"/>
    <col min="19" max="19" width="6.88671875" bestFit="1" customWidth="1"/>
    <col min="20" max="21" width="7.33203125" bestFit="1" customWidth="1"/>
    <col min="22" max="22" width="9.77734375" bestFit="1" customWidth="1"/>
    <col min="23" max="23" width="11.33203125" bestFit="1" customWidth="1"/>
    <col min="24" max="24" width="6.21875" bestFit="1" customWidth="1"/>
    <col min="25" max="25" width="10.77734375" bestFit="1" customWidth="1"/>
    <col min="26" max="26" width="8.109375" bestFit="1" customWidth="1"/>
    <col min="27" max="27" width="10.5546875" bestFit="1" customWidth="1"/>
    <col min="28" max="28" width="15.88671875" bestFit="1" customWidth="1"/>
  </cols>
  <sheetData>
    <row r="1" spans="1:28" ht="15.6" x14ac:dyDescent="0.35">
      <c r="C1" s="1"/>
      <c r="D1" s="1"/>
      <c r="E1" s="1"/>
      <c r="F1" s="10" t="s">
        <v>0</v>
      </c>
      <c r="G1" s="10" t="s">
        <v>1</v>
      </c>
      <c r="H1" s="10" t="s">
        <v>2</v>
      </c>
      <c r="I1" s="10" t="s">
        <v>3</v>
      </c>
      <c r="J1" s="10" t="s">
        <v>4</v>
      </c>
      <c r="K1" s="10" t="s">
        <v>5</v>
      </c>
      <c r="L1" s="10" t="s">
        <v>28</v>
      </c>
      <c r="M1" s="10" t="s">
        <v>6</v>
      </c>
      <c r="N1" s="10" t="s">
        <v>7</v>
      </c>
      <c r="O1" s="10" t="s">
        <v>40</v>
      </c>
      <c r="P1" s="11"/>
      <c r="Q1" s="10" t="s">
        <v>43</v>
      </c>
      <c r="R1" s="10"/>
      <c r="S1" s="10" t="s">
        <v>0</v>
      </c>
      <c r="T1" s="10" t="s">
        <v>1</v>
      </c>
      <c r="U1" s="10" t="s">
        <v>2</v>
      </c>
      <c r="V1" s="10" t="s">
        <v>3</v>
      </c>
      <c r="W1" s="10" t="s">
        <v>4</v>
      </c>
      <c r="X1" s="10" t="s">
        <v>5</v>
      </c>
      <c r="Y1" s="10" t="s">
        <v>28</v>
      </c>
      <c r="Z1" s="10" t="s">
        <v>6</v>
      </c>
      <c r="AA1" s="10" t="s">
        <v>7</v>
      </c>
      <c r="AB1" s="10" t="s">
        <v>40</v>
      </c>
    </row>
    <row r="2" spans="1:28" ht="18" x14ac:dyDescent="0.35">
      <c r="A2" s="12" t="s">
        <v>42</v>
      </c>
      <c r="C2" s="2" t="s">
        <v>35</v>
      </c>
      <c r="D2" s="2" t="s">
        <v>36</v>
      </c>
      <c r="E2" s="1"/>
      <c r="F2" s="2" t="s">
        <v>8</v>
      </c>
      <c r="G2" s="2" t="s">
        <v>9</v>
      </c>
      <c r="H2" s="2" t="s">
        <v>9</v>
      </c>
      <c r="I2" s="2" t="s">
        <v>9</v>
      </c>
      <c r="J2" s="2" t="s">
        <v>8</v>
      </c>
      <c r="K2" s="2" t="s">
        <v>8</v>
      </c>
      <c r="L2" s="2" t="s">
        <v>9</v>
      </c>
      <c r="M2" s="2" t="s">
        <v>9</v>
      </c>
      <c r="N2" s="2" t="s">
        <v>10</v>
      </c>
      <c r="O2" s="2" t="s">
        <v>10</v>
      </c>
      <c r="Q2" s="1"/>
      <c r="R2" s="1"/>
      <c r="S2" s="2" t="s">
        <v>8</v>
      </c>
      <c r="T2" s="2" t="s">
        <v>23</v>
      </c>
      <c r="U2" s="2" t="s">
        <v>23</v>
      </c>
      <c r="V2" s="2" t="s">
        <v>23</v>
      </c>
      <c r="W2" s="2" t="s">
        <v>8</v>
      </c>
      <c r="X2" s="2" t="s">
        <v>8</v>
      </c>
      <c r="Y2" s="2" t="s">
        <v>23</v>
      </c>
      <c r="Z2" s="2" t="s">
        <v>23</v>
      </c>
      <c r="AA2" s="2" t="s">
        <v>10</v>
      </c>
      <c r="AB2" s="2" t="s">
        <v>10</v>
      </c>
    </row>
    <row r="3" spans="1:28" ht="15.6" x14ac:dyDescent="0.35">
      <c r="A3" s="1" t="s">
        <v>0</v>
      </c>
      <c r="B3" s="9" t="s">
        <v>27</v>
      </c>
      <c r="C3" s="2">
        <v>2023</v>
      </c>
      <c r="D3" s="3" t="s">
        <v>11</v>
      </c>
      <c r="E3" s="1"/>
      <c r="F3" s="4">
        <v>19</v>
      </c>
      <c r="G3" s="5">
        <v>6579</v>
      </c>
      <c r="H3" s="5">
        <v>1259.9000000000001</v>
      </c>
      <c r="I3" s="5">
        <v>0</v>
      </c>
      <c r="J3" s="5">
        <v>1</v>
      </c>
      <c r="K3" s="5">
        <v>5</v>
      </c>
      <c r="L3" s="5">
        <v>1876.6</v>
      </c>
      <c r="M3" s="5">
        <f t="shared" ref="M3:M31" si="0">G3*12</f>
        <v>78948</v>
      </c>
      <c r="N3" s="6">
        <f>K3/F3</f>
        <v>0.26315789473684209</v>
      </c>
      <c r="O3" s="6">
        <f>L3/G3</f>
        <v>0.28524091807265539</v>
      </c>
      <c r="Q3" s="7">
        <v>4.8600000000000003</v>
      </c>
      <c r="R3" s="1"/>
      <c r="S3" s="8">
        <f t="shared" ref="S3:S26" si="1">F3</f>
        <v>19</v>
      </c>
      <c r="T3" s="5">
        <f t="shared" ref="T3:T31" si="2">G3/$Q3</f>
        <v>1353.7037037037037</v>
      </c>
      <c r="U3" s="5">
        <f t="shared" ref="U3:U31" si="3">H3/$Q3</f>
        <v>259.23868312757202</v>
      </c>
      <c r="V3" s="5">
        <f t="shared" ref="V3:V31" si="4">I3/$Q3</f>
        <v>0</v>
      </c>
      <c r="W3" s="8">
        <f t="shared" ref="W3:W23" si="5">J3</f>
        <v>1</v>
      </c>
      <c r="X3" s="8">
        <f t="shared" ref="X3:X23" si="6">K3</f>
        <v>5</v>
      </c>
      <c r="Y3" s="5">
        <f t="shared" ref="Y3:Y31" si="7">L3/$Q3</f>
        <v>386.13168724279831</v>
      </c>
      <c r="Z3" s="5">
        <f t="shared" ref="Z3:Z31" si="8">M3/$Q3</f>
        <v>16244.444444444443</v>
      </c>
      <c r="AA3" s="6">
        <f>X3/S3</f>
        <v>0.26315789473684209</v>
      </c>
      <c r="AB3" s="6">
        <f>Y3/T3</f>
        <v>0.28524091807265539</v>
      </c>
    </row>
    <row r="4" spans="1:28" ht="15.6" x14ac:dyDescent="0.35">
      <c r="A4" s="1" t="s">
        <v>1</v>
      </c>
      <c r="B4" s="9" t="s">
        <v>24</v>
      </c>
      <c r="C4" s="2">
        <v>2023</v>
      </c>
      <c r="D4" s="3" t="s">
        <v>12</v>
      </c>
      <c r="E4" s="1"/>
      <c r="F4" s="4">
        <v>15</v>
      </c>
      <c r="G4" s="5">
        <v>7028.9</v>
      </c>
      <c r="H4" s="5">
        <v>799.9</v>
      </c>
      <c r="I4" s="5">
        <v>0</v>
      </c>
      <c r="J4" s="5">
        <v>1</v>
      </c>
      <c r="K4" s="5">
        <v>1</v>
      </c>
      <c r="L4" s="5">
        <v>350</v>
      </c>
      <c r="M4" s="5">
        <f t="shared" si="0"/>
        <v>84346.799999999988</v>
      </c>
      <c r="N4" s="6">
        <f t="shared" ref="N4:N31" si="9">K4/F4</f>
        <v>6.6666666666666666E-2</v>
      </c>
      <c r="O4" s="6">
        <f t="shared" ref="O4:O31" si="10">L4/G4</f>
        <v>4.9794420179544455E-2</v>
      </c>
      <c r="Q4" s="7">
        <v>4.8600000000000003</v>
      </c>
      <c r="R4" s="1"/>
      <c r="S4" s="8">
        <f t="shared" si="1"/>
        <v>15</v>
      </c>
      <c r="T4" s="5">
        <f t="shared" si="2"/>
        <v>1446.2757201646089</v>
      </c>
      <c r="U4" s="5">
        <f t="shared" si="3"/>
        <v>164.58847736625512</v>
      </c>
      <c r="V4" s="5">
        <f t="shared" si="4"/>
        <v>0</v>
      </c>
      <c r="W4" s="8">
        <f t="shared" si="5"/>
        <v>1</v>
      </c>
      <c r="X4" s="8">
        <f t="shared" si="6"/>
        <v>1</v>
      </c>
      <c r="Y4" s="5">
        <f t="shared" si="7"/>
        <v>72.016460905349788</v>
      </c>
      <c r="Z4" s="5">
        <f t="shared" si="8"/>
        <v>17355.308641975305</v>
      </c>
      <c r="AA4" s="6">
        <f t="shared" ref="AA4:AA31" si="11">X4/S4</f>
        <v>6.6666666666666666E-2</v>
      </c>
      <c r="AB4" s="6">
        <f t="shared" ref="AB4:AB31" si="12">Y4/T4</f>
        <v>4.9794420179544455E-2</v>
      </c>
    </row>
    <row r="5" spans="1:28" ht="15.6" x14ac:dyDescent="0.35">
      <c r="A5" s="1" t="s">
        <v>2</v>
      </c>
      <c r="B5" s="9" t="s">
        <v>31</v>
      </c>
      <c r="C5" s="2">
        <v>2023</v>
      </c>
      <c r="D5" s="3" t="s">
        <v>13</v>
      </c>
      <c r="E5" s="1"/>
      <c r="F5" s="4">
        <v>17</v>
      </c>
      <c r="G5" s="5">
        <v>9250.2999999999993</v>
      </c>
      <c r="H5" s="5">
        <v>2821.3</v>
      </c>
      <c r="I5" s="5">
        <v>0</v>
      </c>
      <c r="J5" s="5">
        <v>3</v>
      </c>
      <c r="K5" s="5">
        <v>1</v>
      </c>
      <c r="L5" s="5">
        <v>599.9</v>
      </c>
      <c r="M5" s="5">
        <f t="shared" si="0"/>
        <v>111003.59999999999</v>
      </c>
      <c r="N5" s="6">
        <f t="shared" si="9"/>
        <v>5.8823529411764705E-2</v>
      </c>
      <c r="O5" s="6">
        <f t="shared" si="10"/>
        <v>6.4851950747543324E-2</v>
      </c>
      <c r="Q5" s="7">
        <v>4.8600000000000003</v>
      </c>
      <c r="R5" s="1"/>
      <c r="S5" s="8">
        <f t="shared" si="1"/>
        <v>17</v>
      </c>
      <c r="T5" s="5">
        <f t="shared" si="2"/>
        <v>1903.3539094650203</v>
      </c>
      <c r="U5" s="5">
        <f t="shared" si="3"/>
        <v>580.5144032921811</v>
      </c>
      <c r="V5" s="5">
        <f t="shared" si="4"/>
        <v>0</v>
      </c>
      <c r="W5" s="8">
        <f t="shared" si="5"/>
        <v>3</v>
      </c>
      <c r="X5" s="8">
        <f t="shared" si="6"/>
        <v>1</v>
      </c>
      <c r="Y5" s="5">
        <f t="shared" si="7"/>
        <v>123.43621399176953</v>
      </c>
      <c r="Z5" s="5">
        <f t="shared" si="8"/>
        <v>22840.246913580242</v>
      </c>
      <c r="AA5" s="6">
        <f t="shared" si="11"/>
        <v>5.8823529411764705E-2</v>
      </c>
      <c r="AB5" s="6">
        <f t="shared" si="12"/>
        <v>6.4851950747543324E-2</v>
      </c>
    </row>
    <row r="6" spans="1:28" ht="15.6" x14ac:dyDescent="0.35">
      <c r="A6" s="1" t="s">
        <v>3</v>
      </c>
      <c r="B6" s="9" t="s">
        <v>25</v>
      </c>
      <c r="C6" s="2">
        <v>2023</v>
      </c>
      <c r="D6" s="3" t="s">
        <v>14</v>
      </c>
      <c r="E6" s="1"/>
      <c r="F6" s="4">
        <v>16</v>
      </c>
      <c r="G6" s="5">
        <v>8450.5</v>
      </c>
      <c r="H6" s="5">
        <v>0</v>
      </c>
      <c r="I6" s="5">
        <v>0</v>
      </c>
      <c r="J6" s="5">
        <v>0</v>
      </c>
      <c r="K6" s="5">
        <v>2</v>
      </c>
      <c r="L6" s="5">
        <v>799.8</v>
      </c>
      <c r="M6" s="5">
        <f t="shared" si="0"/>
        <v>101406</v>
      </c>
      <c r="N6" s="6">
        <f t="shared" si="9"/>
        <v>0.125</v>
      </c>
      <c r="O6" s="6">
        <f t="shared" si="10"/>
        <v>9.464528726110881E-2</v>
      </c>
      <c r="Q6" s="7">
        <v>4.8600000000000003</v>
      </c>
      <c r="R6" s="1"/>
      <c r="S6" s="8">
        <f t="shared" si="1"/>
        <v>16</v>
      </c>
      <c r="T6" s="5">
        <f t="shared" si="2"/>
        <v>1738.7860082304526</v>
      </c>
      <c r="U6" s="5">
        <f t="shared" si="3"/>
        <v>0</v>
      </c>
      <c r="V6" s="5">
        <f t="shared" si="4"/>
        <v>0</v>
      </c>
      <c r="W6" s="8">
        <f t="shared" si="5"/>
        <v>0</v>
      </c>
      <c r="X6" s="8">
        <f t="shared" si="6"/>
        <v>2</v>
      </c>
      <c r="Y6" s="5">
        <f t="shared" si="7"/>
        <v>164.56790123456787</v>
      </c>
      <c r="Z6" s="5">
        <f t="shared" si="8"/>
        <v>20865.432098765432</v>
      </c>
      <c r="AA6" s="6">
        <f t="shared" si="11"/>
        <v>0.125</v>
      </c>
      <c r="AB6" s="6">
        <f t="shared" si="12"/>
        <v>9.4645287261108796E-2</v>
      </c>
    </row>
    <row r="7" spans="1:28" ht="15.6" x14ac:dyDescent="0.35">
      <c r="A7" s="1" t="s">
        <v>4</v>
      </c>
      <c r="B7" s="9" t="s">
        <v>26</v>
      </c>
      <c r="C7" s="2">
        <v>2023</v>
      </c>
      <c r="D7" s="3" t="s">
        <v>15</v>
      </c>
      <c r="E7" s="1"/>
      <c r="F7" s="4">
        <v>18</v>
      </c>
      <c r="G7" s="5">
        <v>11379.38</v>
      </c>
      <c r="H7" s="5">
        <v>3698.88</v>
      </c>
      <c r="I7" s="5">
        <v>0</v>
      </c>
      <c r="J7" s="5">
        <v>4</v>
      </c>
      <c r="K7" s="5">
        <v>3</v>
      </c>
      <c r="L7" s="5">
        <v>770</v>
      </c>
      <c r="M7" s="5">
        <f t="shared" si="0"/>
        <v>136552.56</v>
      </c>
      <c r="N7" s="6">
        <f t="shared" si="9"/>
        <v>0.16666666666666666</v>
      </c>
      <c r="O7" s="6">
        <f t="shared" si="10"/>
        <v>6.7666252467181873E-2</v>
      </c>
      <c r="Q7" s="7">
        <v>4.8600000000000003</v>
      </c>
      <c r="R7" s="1"/>
      <c r="S7" s="8">
        <f t="shared" si="1"/>
        <v>18</v>
      </c>
      <c r="T7" s="5">
        <f t="shared" si="2"/>
        <v>2341.4362139917694</v>
      </c>
      <c r="U7" s="5">
        <f t="shared" si="3"/>
        <v>761.08641975308637</v>
      </c>
      <c r="V7" s="5">
        <f t="shared" si="4"/>
        <v>0</v>
      </c>
      <c r="W7" s="8">
        <f t="shared" si="5"/>
        <v>4</v>
      </c>
      <c r="X7" s="8">
        <f t="shared" si="6"/>
        <v>3</v>
      </c>
      <c r="Y7" s="5">
        <f t="shared" si="7"/>
        <v>158.43621399176953</v>
      </c>
      <c r="Z7" s="5">
        <f t="shared" si="8"/>
        <v>28097.234567901232</v>
      </c>
      <c r="AA7" s="6">
        <f t="shared" si="11"/>
        <v>0.16666666666666666</v>
      </c>
      <c r="AB7" s="6">
        <f t="shared" si="12"/>
        <v>6.7666252467181873E-2</v>
      </c>
    </row>
    <row r="8" spans="1:28" ht="15.6" x14ac:dyDescent="0.35">
      <c r="A8" s="1" t="s">
        <v>5</v>
      </c>
      <c r="B8" s="9" t="s">
        <v>32</v>
      </c>
      <c r="C8" s="2">
        <v>2023</v>
      </c>
      <c r="D8" s="3" t="s">
        <v>16</v>
      </c>
      <c r="E8" s="1"/>
      <c r="F8" s="4">
        <v>22</v>
      </c>
      <c r="G8" s="5">
        <v>21476.41</v>
      </c>
      <c r="H8" s="5">
        <v>6497.03</v>
      </c>
      <c r="I8" s="5">
        <v>3600</v>
      </c>
      <c r="J8" s="5">
        <v>7</v>
      </c>
      <c r="K8" s="5">
        <v>0</v>
      </c>
      <c r="L8" s="5">
        <v>0</v>
      </c>
      <c r="M8" s="5">
        <f t="shared" si="0"/>
        <v>257716.91999999998</v>
      </c>
      <c r="N8" s="6">
        <f t="shared" si="9"/>
        <v>0</v>
      </c>
      <c r="O8" s="6">
        <f t="shared" si="10"/>
        <v>0</v>
      </c>
      <c r="Q8" s="7">
        <v>4.8600000000000003</v>
      </c>
      <c r="R8" s="1"/>
      <c r="S8" s="8">
        <f t="shared" si="1"/>
        <v>22</v>
      </c>
      <c r="T8" s="5">
        <f t="shared" si="2"/>
        <v>4419.0144032921808</v>
      </c>
      <c r="U8" s="5">
        <f t="shared" si="3"/>
        <v>1336.8374485596707</v>
      </c>
      <c r="V8" s="5">
        <f t="shared" si="4"/>
        <v>740.74074074074065</v>
      </c>
      <c r="W8" s="8">
        <f t="shared" si="5"/>
        <v>7</v>
      </c>
      <c r="X8" s="8">
        <f t="shared" si="6"/>
        <v>0</v>
      </c>
      <c r="Y8" s="5">
        <f t="shared" si="7"/>
        <v>0</v>
      </c>
      <c r="Z8" s="5">
        <f t="shared" si="8"/>
        <v>53028.172839506165</v>
      </c>
      <c r="AA8" s="6">
        <f t="shared" si="11"/>
        <v>0</v>
      </c>
      <c r="AB8" s="6">
        <f t="shared" si="12"/>
        <v>0</v>
      </c>
    </row>
    <row r="9" spans="1:28" ht="15.6" x14ac:dyDescent="0.35">
      <c r="A9" s="1" t="s">
        <v>28</v>
      </c>
      <c r="B9" s="9" t="s">
        <v>29</v>
      </c>
      <c r="C9" s="2">
        <v>2023</v>
      </c>
      <c r="D9" s="3" t="s">
        <v>17</v>
      </c>
      <c r="E9" s="1"/>
      <c r="F9" s="4">
        <v>28</v>
      </c>
      <c r="G9" s="5">
        <v>27475.91</v>
      </c>
      <c r="H9" s="5">
        <v>5499.6</v>
      </c>
      <c r="I9" s="5">
        <v>499.9</v>
      </c>
      <c r="J9" s="5">
        <v>6</v>
      </c>
      <c r="K9" s="5">
        <v>0</v>
      </c>
      <c r="L9" s="5">
        <v>0</v>
      </c>
      <c r="M9" s="5">
        <f t="shared" si="0"/>
        <v>329710.92</v>
      </c>
      <c r="N9" s="6">
        <f t="shared" si="9"/>
        <v>0</v>
      </c>
      <c r="O9" s="6">
        <f t="shared" si="10"/>
        <v>0</v>
      </c>
      <c r="Q9" s="7">
        <v>4.8600000000000003</v>
      </c>
      <c r="R9" s="1"/>
      <c r="S9" s="8">
        <f t="shared" si="1"/>
        <v>28</v>
      </c>
      <c r="T9" s="5">
        <f t="shared" si="2"/>
        <v>5653.4794238683126</v>
      </c>
      <c r="U9" s="5">
        <f t="shared" si="3"/>
        <v>1131.6049382716049</v>
      </c>
      <c r="V9" s="5">
        <f t="shared" si="4"/>
        <v>102.86008230452674</v>
      </c>
      <c r="W9" s="8">
        <f t="shared" si="5"/>
        <v>6</v>
      </c>
      <c r="X9" s="8">
        <f t="shared" si="6"/>
        <v>0</v>
      </c>
      <c r="Y9" s="5">
        <f t="shared" si="7"/>
        <v>0</v>
      </c>
      <c r="Z9" s="5">
        <f t="shared" si="8"/>
        <v>67841.753086419747</v>
      </c>
      <c r="AA9" s="6">
        <f t="shared" si="11"/>
        <v>0</v>
      </c>
      <c r="AB9" s="6">
        <f t="shared" si="12"/>
        <v>0</v>
      </c>
    </row>
    <row r="10" spans="1:28" ht="15.6" x14ac:dyDescent="0.35">
      <c r="A10" s="1" t="s">
        <v>6</v>
      </c>
      <c r="B10" s="9" t="s">
        <v>30</v>
      </c>
      <c r="C10" s="2">
        <v>2023</v>
      </c>
      <c r="D10" s="3" t="s">
        <v>18</v>
      </c>
      <c r="E10" s="1"/>
      <c r="F10" s="4">
        <v>42</v>
      </c>
      <c r="G10" s="5">
        <v>39174.81</v>
      </c>
      <c r="H10" s="5">
        <v>11198.9</v>
      </c>
      <c r="I10" s="5">
        <v>500</v>
      </c>
      <c r="J10" s="5">
        <v>14</v>
      </c>
      <c r="K10" s="5">
        <v>0</v>
      </c>
      <c r="L10" s="5">
        <v>0</v>
      </c>
      <c r="M10" s="5">
        <f t="shared" si="0"/>
        <v>470097.72</v>
      </c>
      <c r="N10" s="6">
        <f t="shared" si="9"/>
        <v>0</v>
      </c>
      <c r="O10" s="6">
        <f t="shared" si="10"/>
        <v>0</v>
      </c>
      <c r="Q10" s="7">
        <v>4.8600000000000003</v>
      </c>
      <c r="R10" s="1"/>
      <c r="S10" s="8">
        <f t="shared" si="1"/>
        <v>42</v>
      </c>
      <c r="T10" s="5">
        <f t="shared" si="2"/>
        <v>8060.6604938271594</v>
      </c>
      <c r="U10" s="5">
        <f t="shared" si="3"/>
        <v>2304.3004115226336</v>
      </c>
      <c r="V10" s="5">
        <f t="shared" si="4"/>
        <v>102.88065843621399</v>
      </c>
      <c r="W10" s="8">
        <f t="shared" si="5"/>
        <v>14</v>
      </c>
      <c r="X10" s="8">
        <f t="shared" si="6"/>
        <v>0</v>
      </c>
      <c r="Y10" s="5">
        <f t="shared" si="7"/>
        <v>0</v>
      </c>
      <c r="Z10" s="5">
        <f t="shared" si="8"/>
        <v>96727.925925925912</v>
      </c>
      <c r="AA10" s="6">
        <f t="shared" si="11"/>
        <v>0</v>
      </c>
      <c r="AB10" s="6">
        <f t="shared" si="12"/>
        <v>0</v>
      </c>
    </row>
    <row r="11" spans="1:28" ht="15.6" x14ac:dyDescent="0.35">
      <c r="A11" s="1" t="s">
        <v>7</v>
      </c>
      <c r="B11" s="9" t="s">
        <v>33</v>
      </c>
      <c r="C11" s="2">
        <v>2023</v>
      </c>
      <c r="D11" s="3" t="s">
        <v>19</v>
      </c>
      <c r="E11" s="1"/>
      <c r="F11" s="4">
        <v>48</v>
      </c>
      <c r="G11" s="5">
        <v>51404.01</v>
      </c>
      <c r="H11" s="5">
        <v>12529.1</v>
      </c>
      <c r="I11" s="5">
        <v>200</v>
      </c>
      <c r="J11" s="5">
        <v>8</v>
      </c>
      <c r="K11" s="5">
        <v>0</v>
      </c>
      <c r="L11" s="5">
        <v>0</v>
      </c>
      <c r="M11" s="5">
        <f t="shared" si="0"/>
        <v>616848.12</v>
      </c>
      <c r="N11" s="6">
        <f t="shared" si="9"/>
        <v>0</v>
      </c>
      <c r="O11" s="6">
        <f t="shared" si="10"/>
        <v>0</v>
      </c>
      <c r="Q11" s="7">
        <v>4.8600000000000003</v>
      </c>
      <c r="R11" s="1"/>
      <c r="S11" s="8">
        <f t="shared" si="1"/>
        <v>48</v>
      </c>
      <c r="T11" s="5">
        <f t="shared" si="2"/>
        <v>10576.956790123457</v>
      </c>
      <c r="U11" s="5">
        <f t="shared" si="3"/>
        <v>2578.0041152263375</v>
      </c>
      <c r="V11" s="5">
        <f t="shared" si="4"/>
        <v>41.152263374485592</v>
      </c>
      <c r="W11" s="8">
        <f t="shared" si="5"/>
        <v>8</v>
      </c>
      <c r="X11" s="8">
        <f t="shared" si="6"/>
        <v>0</v>
      </c>
      <c r="Y11" s="5">
        <f t="shared" si="7"/>
        <v>0</v>
      </c>
      <c r="Z11" s="5">
        <f t="shared" si="8"/>
        <v>126923.48148148147</v>
      </c>
      <c r="AA11" s="6">
        <f t="shared" si="11"/>
        <v>0</v>
      </c>
      <c r="AB11" s="6">
        <f t="shared" si="12"/>
        <v>0</v>
      </c>
    </row>
    <row r="12" spans="1:28" ht="15.6" x14ac:dyDescent="0.35">
      <c r="A12" s="1" t="s">
        <v>41</v>
      </c>
      <c r="B12" s="9" t="s">
        <v>34</v>
      </c>
      <c r="C12" s="2">
        <v>2023</v>
      </c>
      <c r="D12" s="3" t="s">
        <v>20</v>
      </c>
      <c r="E12" s="1"/>
      <c r="F12" s="4">
        <v>64</v>
      </c>
      <c r="G12" s="5">
        <v>65503.21</v>
      </c>
      <c r="H12" s="5">
        <v>12699.2</v>
      </c>
      <c r="I12" s="5">
        <v>900</v>
      </c>
      <c r="J12" s="5">
        <v>15</v>
      </c>
      <c r="K12" s="5">
        <v>0</v>
      </c>
      <c r="L12" s="5">
        <v>0</v>
      </c>
      <c r="M12" s="5">
        <f t="shared" si="0"/>
        <v>786038.52</v>
      </c>
      <c r="N12" s="6">
        <f t="shared" si="9"/>
        <v>0</v>
      </c>
      <c r="O12" s="6">
        <f t="shared" si="10"/>
        <v>0</v>
      </c>
      <c r="Q12" s="7">
        <v>4.8600000000000003</v>
      </c>
      <c r="R12" s="1"/>
      <c r="S12" s="8">
        <f t="shared" si="1"/>
        <v>64</v>
      </c>
      <c r="T12" s="5">
        <f t="shared" si="2"/>
        <v>13478.026748971193</v>
      </c>
      <c r="U12" s="5">
        <f t="shared" si="3"/>
        <v>2613.0041152263375</v>
      </c>
      <c r="V12" s="5">
        <f t="shared" si="4"/>
        <v>185.18518518518516</v>
      </c>
      <c r="W12" s="8">
        <f t="shared" si="5"/>
        <v>15</v>
      </c>
      <c r="X12" s="8">
        <f t="shared" si="6"/>
        <v>0</v>
      </c>
      <c r="Y12" s="5">
        <f t="shared" si="7"/>
        <v>0</v>
      </c>
      <c r="Z12" s="5">
        <f t="shared" si="8"/>
        <v>161736.32098765433</v>
      </c>
      <c r="AA12" s="6">
        <f t="shared" si="11"/>
        <v>0</v>
      </c>
      <c r="AB12" s="6">
        <f t="shared" si="12"/>
        <v>0</v>
      </c>
    </row>
    <row r="13" spans="1:28" ht="15.6" x14ac:dyDescent="0.35">
      <c r="C13" s="2">
        <v>2023</v>
      </c>
      <c r="D13" s="3" t="s">
        <v>21</v>
      </c>
      <c r="E13" s="1"/>
      <c r="F13" s="4">
        <v>79</v>
      </c>
      <c r="G13" s="5">
        <v>79402.509999999995</v>
      </c>
      <c r="H13" s="5">
        <v>14199.3</v>
      </c>
      <c r="I13" s="5">
        <v>0</v>
      </c>
      <c r="J13" s="5">
        <v>15</v>
      </c>
      <c r="K13" s="5">
        <v>0</v>
      </c>
      <c r="L13" s="5">
        <v>0</v>
      </c>
      <c r="M13" s="5">
        <f t="shared" si="0"/>
        <v>952830.11999999988</v>
      </c>
      <c r="N13" s="6">
        <f t="shared" si="9"/>
        <v>0</v>
      </c>
      <c r="O13" s="6">
        <f t="shared" si="10"/>
        <v>0</v>
      </c>
      <c r="Q13" s="7">
        <v>4.8600000000000003</v>
      </c>
      <c r="R13" s="1"/>
      <c r="S13" s="8">
        <f t="shared" si="1"/>
        <v>79</v>
      </c>
      <c r="T13" s="5">
        <f t="shared" si="2"/>
        <v>16337.96502057613</v>
      </c>
      <c r="U13" s="5">
        <f t="shared" si="3"/>
        <v>2921.6666666666665</v>
      </c>
      <c r="V13" s="5">
        <f t="shared" si="4"/>
        <v>0</v>
      </c>
      <c r="W13" s="8">
        <f t="shared" si="5"/>
        <v>15</v>
      </c>
      <c r="X13" s="8">
        <f t="shared" si="6"/>
        <v>0</v>
      </c>
      <c r="Y13" s="5">
        <f t="shared" si="7"/>
        <v>0</v>
      </c>
      <c r="Z13" s="5">
        <f t="shared" si="8"/>
        <v>196055.58024691354</v>
      </c>
      <c r="AA13" s="6">
        <f t="shared" si="11"/>
        <v>0</v>
      </c>
      <c r="AB13" s="6">
        <f t="shared" si="12"/>
        <v>0</v>
      </c>
    </row>
    <row r="14" spans="1:28" ht="15.6" x14ac:dyDescent="0.35">
      <c r="C14" s="2">
        <v>2023</v>
      </c>
      <c r="D14" s="3" t="s">
        <v>22</v>
      </c>
      <c r="E14" s="1"/>
      <c r="F14" s="4">
        <v>90</v>
      </c>
      <c r="G14" s="5">
        <v>90601.61</v>
      </c>
      <c r="H14" s="5">
        <v>11699.1</v>
      </c>
      <c r="I14" s="5">
        <v>0</v>
      </c>
      <c r="J14" s="5">
        <v>12</v>
      </c>
      <c r="K14" s="5">
        <v>0</v>
      </c>
      <c r="L14" s="5">
        <v>0</v>
      </c>
      <c r="M14" s="5">
        <f t="shared" si="0"/>
        <v>1087219.32</v>
      </c>
      <c r="N14" s="6">
        <f t="shared" si="9"/>
        <v>0</v>
      </c>
      <c r="O14" s="6">
        <f t="shared" si="10"/>
        <v>0</v>
      </c>
      <c r="Q14" s="7">
        <v>4.8600000000000003</v>
      </c>
      <c r="R14" s="1"/>
      <c r="S14" s="8">
        <f t="shared" si="1"/>
        <v>90</v>
      </c>
      <c r="T14" s="5">
        <f t="shared" si="2"/>
        <v>18642.306584362137</v>
      </c>
      <c r="U14" s="5">
        <f t="shared" si="3"/>
        <v>2407.2222222222222</v>
      </c>
      <c r="V14" s="5">
        <f t="shared" si="4"/>
        <v>0</v>
      </c>
      <c r="W14" s="8">
        <f t="shared" si="5"/>
        <v>12</v>
      </c>
      <c r="X14" s="8">
        <f t="shared" si="6"/>
        <v>0</v>
      </c>
      <c r="Y14" s="5">
        <f t="shared" si="7"/>
        <v>0</v>
      </c>
      <c r="Z14" s="5">
        <f t="shared" si="8"/>
        <v>223707.67901234567</v>
      </c>
      <c r="AA14" s="6">
        <f t="shared" si="11"/>
        <v>0</v>
      </c>
      <c r="AB14" s="6">
        <f t="shared" si="12"/>
        <v>0</v>
      </c>
    </row>
    <row r="15" spans="1:28" ht="15.6" x14ac:dyDescent="0.35">
      <c r="C15" s="2">
        <v>2024</v>
      </c>
      <c r="D15" s="3" t="s">
        <v>11</v>
      </c>
      <c r="E15" s="1"/>
      <c r="F15" s="4">
        <v>96</v>
      </c>
      <c r="G15" s="5">
        <v>93701.11</v>
      </c>
      <c r="H15" s="5">
        <v>3299.5</v>
      </c>
      <c r="I15" s="5">
        <v>300</v>
      </c>
      <c r="J15" s="5">
        <v>5</v>
      </c>
      <c r="K15" s="5">
        <v>1</v>
      </c>
      <c r="L15" s="5">
        <v>500</v>
      </c>
      <c r="M15" s="5">
        <f t="shared" si="0"/>
        <v>1124413.32</v>
      </c>
      <c r="N15" s="6">
        <f t="shared" si="9"/>
        <v>1.0416666666666666E-2</v>
      </c>
      <c r="O15" s="6">
        <f t="shared" si="10"/>
        <v>5.3361160822961431E-3</v>
      </c>
      <c r="Q15" s="7">
        <v>6.18</v>
      </c>
      <c r="R15" s="1"/>
      <c r="S15" s="8">
        <f t="shared" si="1"/>
        <v>96</v>
      </c>
      <c r="T15" s="5">
        <f t="shared" si="2"/>
        <v>15161.991909385115</v>
      </c>
      <c r="U15" s="5">
        <f t="shared" si="3"/>
        <v>533.89967637540451</v>
      </c>
      <c r="V15" s="5">
        <f t="shared" si="4"/>
        <v>48.543689320388353</v>
      </c>
      <c r="W15" s="8">
        <f t="shared" si="5"/>
        <v>5</v>
      </c>
      <c r="X15" s="8">
        <f t="shared" si="6"/>
        <v>1</v>
      </c>
      <c r="Y15" s="5">
        <f t="shared" si="7"/>
        <v>80.906148867313917</v>
      </c>
      <c r="Z15" s="5">
        <f t="shared" si="8"/>
        <v>181943.90291262139</v>
      </c>
      <c r="AA15" s="6">
        <f t="shared" si="11"/>
        <v>1.0416666666666666E-2</v>
      </c>
      <c r="AB15" s="6">
        <f t="shared" si="12"/>
        <v>5.3361160822961431E-3</v>
      </c>
    </row>
    <row r="16" spans="1:28" ht="15.6" x14ac:dyDescent="0.35">
      <c r="C16" s="2">
        <v>2024</v>
      </c>
      <c r="D16" s="3" t="s">
        <v>12</v>
      </c>
      <c r="E16" s="1"/>
      <c r="F16" s="4">
        <v>104</v>
      </c>
      <c r="G16" s="5">
        <v>105600.71</v>
      </c>
      <c r="H16" s="5">
        <v>12299.6</v>
      </c>
      <c r="I16" s="5">
        <v>300</v>
      </c>
      <c r="J16" s="5">
        <v>10</v>
      </c>
      <c r="K16" s="5">
        <v>1</v>
      </c>
      <c r="L16" s="5">
        <v>1000</v>
      </c>
      <c r="M16" s="5">
        <f t="shared" si="0"/>
        <v>1267208.52</v>
      </c>
      <c r="N16" s="6">
        <f t="shared" si="9"/>
        <v>9.6153846153846159E-3</v>
      </c>
      <c r="O16" s="6">
        <f t="shared" si="10"/>
        <v>9.4696333007609507E-3</v>
      </c>
      <c r="Q16" s="7">
        <v>6.18</v>
      </c>
      <c r="R16" s="1"/>
      <c r="S16" s="8">
        <f t="shared" si="1"/>
        <v>104</v>
      </c>
      <c r="T16" s="5">
        <f t="shared" si="2"/>
        <v>17087.493527508093</v>
      </c>
      <c r="U16" s="5">
        <f t="shared" si="3"/>
        <v>1990.2265372168285</v>
      </c>
      <c r="V16" s="5">
        <f t="shared" si="4"/>
        <v>48.543689320388353</v>
      </c>
      <c r="W16" s="8">
        <f t="shared" si="5"/>
        <v>10</v>
      </c>
      <c r="X16" s="8">
        <f t="shared" si="6"/>
        <v>1</v>
      </c>
      <c r="Y16" s="5">
        <f t="shared" si="7"/>
        <v>161.81229773462783</v>
      </c>
      <c r="Z16" s="5">
        <f t="shared" si="8"/>
        <v>205049.92233009709</v>
      </c>
      <c r="AA16" s="6">
        <f t="shared" si="11"/>
        <v>9.6153846153846159E-3</v>
      </c>
      <c r="AB16" s="6">
        <f t="shared" si="12"/>
        <v>9.4696333007609507E-3</v>
      </c>
    </row>
    <row r="17" spans="3:28" ht="15.6" x14ac:dyDescent="0.35">
      <c r="C17" s="2">
        <v>2024</v>
      </c>
      <c r="D17" s="3" t="s">
        <v>13</v>
      </c>
      <c r="E17" s="1"/>
      <c r="F17" s="4">
        <v>114</v>
      </c>
      <c r="G17" s="5">
        <v>128878.01</v>
      </c>
      <c r="H17" s="5">
        <v>24577.200000000001</v>
      </c>
      <c r="I17" s="5">
        <v>0</v>
      </c>
      <c r="J17" s="5">
        <v>11</v>
      </c>
      <c r="K17" s="5">
        <v>1</v>
      </c>
      <c r="L17" s="5">
        <v>999.9</v>
      </c>
      <c r="M17" s="5">
        <f t="shared" si="0"/>
        <v>1546536.1199999999</v>
      </c>
      <c r="N17" s="6">
        <f t="shared" si="9"/>
        <v>8.771929824561403E-3</v>
      </c>
      <c r="O17" s="6">
        <f t="shared" si="10"/>
        <v>7.7584996850897994E-3</v>
      </c>
      <c r="Q17" s="7">
        <v>6.18</v>
      </c>
      <c r="R17" s="1"/>
      <c r="S17" s="8">
        <f t="shared" si="1"/>
        <v>114</v>
      </c>
      <c r="T17" s="5">
        <f t="shared" si="2"/>
        <v>20854.046925566345</v>
      </c>
      <c r="U17" s="5">
        <f t="shared" si="3"/>
        <v>3976.8932038834955</v>
      </c>
      <c r="V17" s="5">
        <f t="shared" si="4"/>
        <v>0</v>
      </c>
      <c r="W17" s="8">
        <f t="shared" si="5"/>
        <v>11</v>
      </c>
      <c r="X17" s="8">
        <f t="shared" si="6"/>
        <v>1</v>
      </c>
      <c r="Y17" s="5">
        <f t="shared" si="7"/>
        <v>161.79611650485438</v>
      </c>
      <c r="Z17" s="5">
        <f t="shared" si="8"/>
        <v>250248.56310679612</v>
      </c>
      <c r="AA17" s="6">
        <f t="shared" si="11"/>
        <v>8.771929824561403E-3</v>
      </c>
      <c r="AB17" s="6">
        <f t="shared" si="12"/>
        <v>7.7584996850897994E-3</v>
      </c>
    </row>
    <row r="18" spans="3:28" ht="15.6" x14ac:dyDescent="0.35">
      <c r="C18" s="2">
        <v>2024</v>
      </c>
      <c r="D18" s="3" t="s">
        <v>14</v>
      </c>
      <c r="E18" s="1"/>
      <c r="F18" s="4">
        <v>116</v>
      </c>
      <c r="G18" s="5">
        <v>131877.81</v>
      </c>
      <c r="H18" s="5">
        <v>2499.6999999999998</v>
      </c>
      <c r="I18" s="5">
        <v>900</v>
      </c>
      <c r="J18" s="5">
        <v>3</v>
      </c>
      <c r="K18" s="5">
        <v>1</v>
      </c>
      <c r="L18" s="5">
        <v>1579.6</v>
      </c>
      <c r="M18" s="5">
        <f t="shared" si="0"/>
        <v>1582533.72</v>
      </c>
      <c r="N18" s="6">
        <f t="shared" si="9"/>
        <v>8.6206896551724137E-3</v>
      </c>
      <c r="O18" s="6">
        <f t="shared" si="10"/>
        <v>1.1977754256004098E-2</v>
      </c>
      <c r="Q18" s="7">
        <v>6.18</v>
      </c>
      <c r="R18" s="1"/>
      <c r="S18" s="8">
        <f t="shared" si="1"/>
        <v>116</v>
      </c>
      <c r="T18" s="5">
        <f t="shared" si="2"/>
        <v>21339.451456310679</v>
      </c>
      <c r="U18" s="5">
        <f t="shared" si="3"/>
        <v>404.48220064724916</v>
      </c>
      <c r="V18" s="5">
        <f t="shared" si="4"/>
        <v>145.63106796116506</v>
      </c>
      <c r="W18" s="8">
        <f t="shared" si="5"/>
        <v>3</v>
      </c>
      <c r="X18" s="8">
        <f t="shared" si="6"/>
        <v>1</v>
      </c>
      <c r="Y18" s="5">
        <f t="shared" si="7"/>
        <v>255.59870550161813</v>
      </c>
      <c r="Z18" s="5">
        <f t="shared" si="8"/>
        <v>256073.41747572817</v>
      </c>
      <c r="AA18" s="6">
        <f t="shared" si="11"/>
        <v>8.6206896551724137E-3</v>
      </c>
      <c r="AB18" s="6">
        <f t="shared" si="12"/>
        <v>1.19777542560041E-2</v>
      </c>
    </row>
    <row r="19" spans="3:28" ht="15.6" x14ac:dyDescent="0.35">
      <c r="C19" s="2">
        <v>2024</v>
      </c>
      <c r="D19" s="3" t="s">
        <v>15</v>
      </c>
      <c r="E19" s="1"/>
      <c r="F19" s="4">
        <v>119</v>
      </c>
      <c r="G19" s="5">
        <v>141977.60999999999</v>
      </c>
      <c r="H19" s="5">
        <v>9899.6</v>
      </c>
      <c r="I19" s="5">
        <v>1400</v>
      </c>
      <c r="J19" s="5">
        <v>4</v>
      </c>
      <c r="K19" s="5">
        <v>3</v>
      </c>
      <c r="L19" s="5">
        <v>1199.8</v>
      </c>
      <c r="M19" s="5">
        <f t="shared" si="0"/>
        <v>1703731.3199999998</v>
      </c>
      <c r="N19" s="6">
        <f t="shared" si="9"/>
        <v>2.5210084033613446E-2</v>
      </c>
      <c r="O19" s="6">
        <f t="shared" si="10"/>
        <v>8.4506282363817787E-3</v>
      </c>
      <c r="Q19" s="7">
        <v>6.18</v>
      </c>
      <c r="R19" s="1"/>
      <c r="S19" s="8">
        <f t="shared" si="1"/>
        <v>119</v>
      </c>
      <c r="T19" s="5">
        <f t="shared" si="2"/>
        <v>22973.723300970873</v>
      </c>
      <c r="U19" s="5">
        <f t="shared" si="3"/>
        <v>1601.8770226537217</v>
      </c>
      <c r="V19" s="5">
        <f t="shared" si="4"/>
        <v>226.53721682847896</v>
      </c>
      <c r="W19" s="8">
        <f t="shared" si="5"/>
        <v>4</v>
      </c>
      <c r="X19" s="8">
        <f t="shared" si="6"/>
        <v>3</v>
      </c>
      <c r="Y19" s="5">
        <f t="shared" si="7"/>
        <v>194.14239482200648</v>
      </c>
      <c r="Z19" s="5">
        <f t="shared" si="8"/>
        <v>275684.67961165047</v>
      </c>
      <c r="AA19" s="6">
        <f t="shared" si="11"/>
        <v>2.5210084033613446E-2</v>
      </c>
      <c r="AB19" s="6">
        <f t="shared" si="12"/>
        <v>8.4506282363817804E-3</v>
      </c>
    </row>
    <row r="20" spans="3:28" ht="15.6" x14ac:dyDescent="0.35">
      <c r="C20" s="2">
        <v>2024</v>
      </c>
      <c r="D20" s="3" t="s">
        <v>16</v>
      </c>
      <c r="E20" s="1"/>
      <c r="F20" s="4">
        <v>123</v>
      </c>
      <c r="G20" s="5">
        <v>164127.10999999999</v>
      </c>
      <c r="H20" s="5">
        <v>22799.4</v>
      </c>
      <c r="I20" s="5">
        <v>150</v>
      </c>
      <c r="J20" s="5">
        <v>7</v>
      </c>
      <c r="K20" s="5">
        <v>1</v>
      </c>
      <c r="L20" s="5">
        <v>799.9</v>
      </c>
      <c r="M20" s="5">
        <f t="shared" si="0"/>
        <v>1969525.3199999998</v>
      </c>
      <c r="N20" s="6">
        <f t="shared" si="9"/>
        <v>8.130081300813009E-3</v>
      </c>
      <c r="O20" s="6">
        <f t="shared" si="10"/>
        <v>4.8736616394451839E-3</v>
      </c>
      <c r="Q20" s="7">
        <v>6.18</v>
      </c>
      <c r="R20" s="1"/>
      <c r="S20" s="8">
        <f t="shared" si="1"/>
        <v>123</v>
      </c>
      <c r="T20" s="5">
        <f t="shared" si="2"/>
        <v>26557.784789644011</v>
      </c>
      <c r="U20" s="5">
        <f t="shared" si="3"/>
        <v>3689.2233009708743</v>
      </c>
      <c r="V20" s="5">
        <f t="shared" si="4"/>
        <v>24.271844660194176</v>
      </c>
      <c r="W20" s="8">
        <f t="shared" si="5"/>
        <v>7</v>
      </c>
      <c r="X20" s="8">
        <f t="shared" si="6"/>
        <v>1</v>
      </c>
      <c r="Y20" s="5">
        <f t="shared" si="7"/>
        <v>129.4336569579288</v>
      </c>
      <c r="Z20" s="5">
        <f t="shared" si="8"/>
        <v>318693.41747572814</v>
      </c>
      <c r="AA20" s="6">
        <f t="shared" si="11"/>
        <v>8.130081300813009E-3</v>
      </c>
      <c r="AB20" s="6">
        <f t="shared" si="12"/>
        <v>4.8736616394451839E-3</v>
      </c>
    </row>
    <row r="21" spans="3:28" ht="15.6" x14ac:dyDescent="0.35">
      <c r="C21" s="2">
        <v>2024</v>
      </c>
      <c r="D21" s="3" t="s">
        <v>17</v>
      </c>
      <c r="E21" s="1"/>
      <c r="F21" s="4">
        <v>131</v>
      </c>
      <c r="G21" s="5">
        <v>176138.82</v>
      </c>
      <c r="H21" s="5">
        <v>10511.71</v>
      </c>
      <c r="I21" s="5">
        <v>1699.9</v>
      </c>
      <c r="J21" s="5">
        <v>9</v>
      </c>
      <c r="K21" s="5">
        <v>1</v>
      </c>
      <c r="L21" s="5">
        <v>199.9</v>
      </c>
      <c r="M21" s="5">
        <f t="shared" si="0"/>
        <v>2113665.84</v>
      </c>
      <c r="N21" s="6">
        <f t="shared" si="9"/>
        <v>7.6335877862595417E-3</v>
      </c>
      <c r="O21" s="6">
        <f t="shared" si="10"/>
        <v>1.1349003019323054E-3</v>
      </c>
      <c r="Q21" s="7">
        <v>6.18</v>
      </c>
      <c r="R21" s="1"/>
      <c r="S21" s="8">
        <f t="shared" si="1"/>
        <v>131</v>
      </c>
      <c r="T21" s="5">
        <f t="shared" si="2"/>
        <v>28501.427184466022</v>
      </c>
      <c r="U21" s="5">
        <f t="shared" si="3"/>
        <v>1700.9239482200646</v>
      </c>
      <c r="V21" s="5">
        <f t="shared" si="4"/>
        <v>275.06472491909386</v>
      </c>
      <c r="W21" s="8">
        <f t="shared" si="5"/>
        <v>9</v>
      </c>
      <c r="X21" s="8">
        <f t="shared" si="6"/>
        <v>1</v>
      </c>
      <c r="Y21" s="5">
        <f t="shared" si="7"/>
        <v>32.346278317152105</v>
      </c>
      <c r="Z21" s="5">
        <f t="shared" si="8"/>
        <v>342017.12621359224</v>
      </c>
      <c r="AA21" s="6">
        <f t="shared" si="11"/>
        <v>7.6335877862595417E-3</v>
      </c>
      <c r="AB21" s="6">
        <f t="shared" si="12"/>
        <v>1.1349003019323054E-3</v>
      </c>
    </row>
    <row r="22" spans="3:28" ht="15.6" x14ac:dyDescent="0.35">
      <c r="C22" s="2">
        <v>2024</v>
      </c>
      <c r="D22" s="3" t="s">
        <v>18</v>
      </c>
      <c r="E22" s="1"/>
      <c r="F22" s="4">
        <v>143</v>
      </c>
      <c r="G22" s="5">
        <v>200311.32</v>
      </c>
      <c r="H22" s="5">
        <v>19647.5</v>
      </c>
      <c r="I22" s="5">
        <v>6125</v>
      </c>
      <c r="J22" s="5">
        <v>13</v>
      </c>
      <c r="K22" s="5">
        <v>2</v>
      </c>
      <c r="L22" s="5">
        <v>1600</v>
      </c>
      <c r="M22" s="5">
        <f t="shared" si="0"/>
        <v>2403735.84</v>
      </c>
      <c r="N22" s="6">
        <f t="shared" si="9"/>
        <v>1.3986013986013986E-2</v>
      </c>
      <c r="O22" s="6">
        <f t="shared" si="10"/>
        <v>7.9875665539021947E-3</v>
      </c>
      <c r="Q22" s="7">
        <v>6.18</v>
      </c>
      <c r="R22" s="1"/>
      <c r="S22" s="8">
        <f t="shared" si="1"/>
        <v>143</v>
      </c>
      <c r="T22" s="5">
        <f t="shared" si="2"/>
        <v>32412.834951456312</v>
      </c>
      <c r="U22" s="5">
        <f t="shared" si="3"/>
        <v>3179.2071197411005</v>
      </c>
      <c r="V22" s="5">
        <f t="shared" si="4"/>
        <v>991.10032362459549</v>
      </c>
      <c r="W22" s="8">
        <f t="shared" si="5"/>
        <v>13</v>
      </c>
      <c r="X22" s="8">
        <f t="shared" si="6"/>
        <v>2</v>
      </c>
      <c r="Y22" s="5">
        <f t="shared" si="7"/>
        <v>258.89967637540457</v>
      </c>
      <c r="Z22" s="5">
        <f t="shared" si="8"/>
        <v>388954.01941747573</v>
      </c>
      <c r="AA22" s="6">
        <f t="shared" si="11"/>
        <v>1.3986013986013986E-2</v>
      </c>
      <c r="AB22" s="6">
        <f t="shared" si="12"/>
        <v>7.9875665539021964E-3</v>
      </c>
    </row>
    <row r="23" spans="3:28" ht="15.6" x14ac:dyDescent="0.35">
      <c r="C23" s="2">
        <v>2024</v>
      </c>
      <c r="D23" s="3" t="s">
        <v>19</v>
      </c>
      <c r="E23" s="1"/>
      <c r="F23" s="4">
        <v>152</v>
      </c>
      <c r="G23" s="5">
        <v>226864.83</v>
      </c>
      <c r="H23" s="5">
        <v>21778.51</v>
      </c>
      <c r="I23" s="5">
        <v>6575</v>
      </c>
      <c r="J23" s="5">
        <v>13</v>
      </c>
      <c r="K23" s="5">
        <v>1</v>
      </c>
      <c r="L23" s="5">
        <v>1800</v>
      </c>
      <c r="M23" s="5">
        <f t="shared" si="0"/>
        <v>2722377.96</v>
      </c>
      <c r="N23" s="6">
        <f t="shared" si="9"/>
        <v>6.5789473684210523E-3</v>
      </c>
      <c r="O23" s="6">
        <f t="shared" si="10"/>
        <v>7.9342399613020666E-3</v>
      </c>
      <c r="Q23" s="7">
        <v>6.18</v>
      </c>
      <c r="R23" s="1"/>
      <c r="S23" s="8">
        <f t="shared" si="1"/>
        <v>152</v>
      </c>
      <c r="T23" s="5">
        <f t="shared" si="2"/>
        <v>36709.519417475727</v>
      </c>
      <c r="U23" s="5">
        <f t="shared" si="3"/>
        <v>3524.0307443365696</v>
      </c>
      <c r="V23" s="5">
        <f t="shared" si="4"/>
        <v>1063.915857605178</v>
      </c>
      <c r="W23" s="8">
        <f t="shared" si="5"/>
        <v>13</v>
      </c>
      <c r="X23" s="8">
        <f t="shared" si="6"/>
        <v>1</v>
      </c>
      <c r="Y23" s="5">
        <f t="shared" si="7"/>
        <v>291.26213592233012</v>
      </c>
      <c r="Z23" s="5">
        <f t="shared" si="8"/>
        <v>440514.23300970875</v>
      </c>
      <c r="AA23" s="6">
        <f t="shared" si="11"/>
        <v>6.5789473684210523E-3</v>
      </c>
      <c r="AB23" s="6">
        <f t="shared" si="12"/>
        <v>7.9342399613020684E-3</v>
      </c>
    </row>
    <row r="24" spans="3:28" ht="15.6" x14ac:dyDescent="0.35">
      <c r="C24" s="2">
        <v>2024</v>
      </c>
      <c r="D24" s="3" t="s">
        <v>20</v>
      </c>
      <c r="E24" s="1"/>
      <c r="F24" s="4">
        <v>166</v>
      </c>
      <c r="G24" s="5">
        <v>253342.94</v>
      </c>
      <c r="H24" s="5">
        <v>25128.11</v>
      </c>
      <c r="I24" s="5">
        <v>1849.9</v>
      </c>
      <c r="J24" s="5">
        <v>16</v>
      </c>
      <c r="K24" s="5">
        <v>2</v>
      </c>
      <c r="L24" s="5">
        <v>799.8</v>
      </c>
      <c r="M24" s="5">
        <f t="shared" si="0"/>
        <v>3040115.2800000003</v>
      </c>
      <c r="N24" s="6">
        <f t="shared" si="9"/>
        <v>1.2048192771084338E-2</v>
      </c>
      <c r="O24" s="6">
        <f t="shared" si="10"/>
        <v>3.156985546942812E-3</v>
      </c>
      <c r="Q24" s="7">
        <v>6.18</v>
      </c>
      <c r="R24" s="1"/>
      <c r="S24" s="8">
        <f t="shared" si="1"/>
        <v>166</v>
      </c>
      <c r="T24" s="5">
        <f t="shared" si="2"/>
        <v>40994.003236245961</v>
      </c>
      <c r="U24" s="5">
        <f t="shared" si="3"/>
        <v>4066.0372168284794</v>
      </c>
      <c r="V24" s="5">
        <f t="shared" si="4"/>
        <v>299.33656957928804</v>
      </c>
      <c r="W24" s="8">
        <f t="shared" ref="W24:W31" si="13">J24</f>
        <v>16</v>
      </c>
      <c r="X24" s="8">
        <f>K24</f>
        <v>2</v>
      </c>
      <c r="Y24" s="5">
        <f t="shared" si="7"/>
        <v>129.41747572815535</v>
      </c>
      <c r="Z24" s="5">
        <f t="shared" si="8"/>
        <v>491928.03883495153</v>
      </c>
      <c r="AA24" s="6">
        <f t="shared" si="11"/>
        <v>1.2048192771084338E-2</v>
      </c>
      <c r="AB24" s="6">
        <f t="shared" si="12"/>
        <v>3.156985546942812E-3</v>
      </c>
    </row>
    <row r="25" spans="3:28" ht="15.6" x14ac:dyDescent="0.35">
      <c r="C25" s="2">
        <v>2024</v>
      </c>
      <c r="D25" s="3" t="s">
        <v>21</v>
      </c>
      <c r="E25" s="1"/>
      <c r="F25" s="4">
        <v>183</v>
      </c>
      <c r="G25" s="5">
        <v>274009.34999999998</v>
      </c>
      <c r="H25" s="5">
        <v>21366.11</v>
      </c>
      <c r="I25" s="5">
        <v>1500</v>
      </c>
      <c r="J25" s="5">
        <v>18</v>
      </c>
      <c r="K25" s="5">
        <v>3</v>
      </c>
      <c r="L25" s="5">
        <v>1799.7</v>
      </c>
      <c r="M25" s="5">
        <f t="shared" si="0"/>
        <v>3288112.1999999997</v>
      </c>
      <c r="N25" s="6">
        <f t="shared" si="9"/>
        <v>1.6393442622950821E-2</v>
      </c>
      <c r="O25" s="6">
        <f t="shared" si="10"/>
        <v>6.5680240473545894E-3</v>
      </c>
      <c r="Q25" s="7">
        <v>6.18</v>
      </c>
      <c r="R25" s="1"/>
      <c r="S25" s="8">
        <f t="shared" si="1"/>
        <v>183</v>
      </c>
      <c r="T25" s="5">
        <f t="shared" si="2"/>
        <v>44338.082524271842</v>
      </c>
      <c r="U25" s="5">
        <f t="shared" si="3"/>
        <v>3457.2993527508092</v>
      </c>
      <c r="V25" s="5">
        <f t="shared" si="4"/>
        <v>242.71844660194176</v>
      </c>
      <c r="W25" s="8">
        <f t="shared" si="13"/>
        <v>18</v>
      </c>
      <c r="X25" s="8">
        <f>K25</f>
        <v>3</v>
      </c>
      <c r="Y25" s="5">
        <f t="shared" si="7"/>
        <v>291.21359223300971</v>
      </c>
      <c r="Z25" s="5">
        <f t="shared" si="8"/>
        <v>532056.99029126216</v>
      </c>
      <c r="AA25" s="6">
        <f t="shared" si="11"/>
        <v>1.6393442622950821E-2</v>
      </c>
      <c r="AB25" s="6">
        <f t="shared" si="12"/>
        <v>6.5680240473545886E-3</v>
      </c>
    </row>
    <row r="26" spans="3:28" ht="15.6" x14ac:dyDescent="0.35">
      <c r="C26" s="2">
        <v>2024</v>
      </c>
      <c r="D26" s="3" t="s">
        <v>22</v>
      </c>
      <c r="E26" s="1"/>
      <c r="F26" s="4">
        <v>199</v>
      </c>
      <c r="G26" s="5">
        <v>305057.75</v>
      </c>
      <c r="H26" s="5">
        <v>30148.5</v>
      </c>
      <c r="I26" s="5">
        <v>899.9</v>
      </c>
      <c r="J26" s="5">
        <v>21</v>
      </c>
      <c r="K26" s="5">
        <v>1</v>
      </c>
      <c r="L26" s="5">
        <v>899.7</v>
      </c>
      <c r="M26" s="5">
        <f t="shared" si="0"/>
        <v>3660693</v>
      </c>
      <c r="N26" s="6">
        <f t="shared" si="9"/>
        <v>5.0251256281407036E-3</v>
      </c>
      <c r="O26" s="6">
        <f t="shared" si="10"/>
        <v>2.9492776367753318E-3</v>
      </c>
      <c r="Q26" s="7">
        <v>6.18</v>
      </c>
      <c r="R26" s="1"/>
      <c r="S26" s="8">
        <f t="shared" si="1"/>
        <v>199</v>
      </c>
      <c r="T26" s="5">
        <f t="shared" si="2"/>
        <v>49362.095469255662</v>
      </c>
      <c r="U26" s="5">
        <f t="shared" si="3"/>
        <v>4878.3980582524273</v>
      </c>
      <c r="V26" s="5">
        <f t="shared" si="4"/>
        <v>145.61488673139158</v>
      </c>
      <c r="W26" s="8">
        <f t="shared" si="13"/>
        <v>21</v>
      </c>
      <c r="X26" s="8">
        <f>K26</f>
        <v>1</v>
      </c>
      <c r="Y26" s="5">
        <f t="shared" si="7"/>
        <v>145.58252427184468</v>
      </c>
      <c r="Z26" s="5">
        <f t="shared" si="8"/>
        <v>592345.14563106804</v>
      </c>
      <c r="AA26" s="6">
        <f t="shared" si="11"/>
        <v>5.0251256281407036E-3</v>
      </c>
      <c r="AB26" s="6">
        <f t="shared" si="12"/>
        <v>2.9492776367753323E-3</v>
      </c>
    </row>
    <row r="27" spans="3:28" ht="15.6" x14ac:dyDescent="0.35">
      <c r="C27" s="2">
        <v>2025</v>
      </c>
      <c r="D27" s="3" t="s">
        <v>11</v>
      </c>
      <c r="F27" s="4">
        <v>213</v>
      </c>
      <c r="G27" s="5">
        <v>320936.59999999998</v>
      </c>
      <c r="H27" s="5">
        <v>19798</v>
      </c>
      <c r="I27" s="5">
        <v>679.95</v>
      </c>
      <c r="J27" s="5">
        <v>18</v>
      </c>
      <c r="K27" s="5">
        <v>5</v>
      </c>
      <c r="L27" s="5">
        <v>4199.7</v>
      </c>
      <c r="M27" s="5">
        <f t="shared" si="0"/>
        <v>3851239.1999999997</v>
      </c>
      <c r="N27" s="6">
        <f t="shared" si="9"/>
        <v>2.3474178403755867E-2</v>
      </c>
      <c r="O27" s="6">
        <f t="shared" si="10"/>
        <v>1.3085762110024223E-2</v>
      </c>
      <c r="Q27" s="7">
        <v>5.65</v>
      </c>
      <c r="S27" s="4">
        <v>213</v>
      </c>
      <c r="T27" s="5">
        <f t="shared" si="2"/>
        <v>56802.938053097336</v>
      </c>
      <c r="U27" s="5">
        <f t="shared" si="3"/>
        <v>3504.0707964601766</v>
      </c>
      <c r="V27" s="5">
        <f t="shared" si="4"/>
        <v>120.34513274336284</v>
      </c>
      <c r="W27" s="8">
        <f t="shared" si="13"/>
        <v>18</v>
      </c>
      <c r="X27" s="8">
        <f t="shared" ref="X27:X31" si="14">K27</f>
        <v>5</v>
      </c>
      <c r="Y27" s="5">
        <f t="shared" si="7"/>
        <v>743.30973451327429</v>
      </c>
      <c r="Z27" s="5">
        <f t="shared" si="8"/>
        <v>681635.256637168</v>
      </c>
      <c r="AA27" s="6">
        <f>X27/S27</f>
        <v>2.3474178403755867E-2</v>
      </c>
      <c r="AB27" s="6">
        <f t="shared" si="12"/>
        <v>1.3085762110024225E-2</v>
      </c>
    </row>
    <row r="28" spans="3:28" ht="15.6" x14ac:dyDescent="0.35">
      <c r="C28" s="2">
        <v>2025</v>
      </c>
      <c r="D28" s="3" t="s">
        <v>37</v>
      </c>
      <c r="F28" s="4">
        <v>222</v>
      </c>
      <c r="G28" s="5">
        <v>332305.81</v>
      </c>
      <c r="H28" s="5">
        <v>21068.11</v>
      </c>
      <c r="I28" s="5">
        <v>0</v>
      </c>
      <c r="J28" s="5">
        <v>14</v>
      </c>
      <c r="K28" s="5">
        <v>11</v>
      </c>
      <c r="L28" s="5">
        <v>9698.7999999999993</v>
      </c>
      <c r="M28" s="5">
        <f t="shared" si="0"/>
        <v>3987669.7199999997</v>
      </c>
      <c r="N28" s="6">
        <f t="shared" si="9"/>
        <v>4.954954954954955E-2</v>
      </c>
      <c r="O28" s="6">
        <f t="shared" si="10"/>
        <v>2.9186369025567139E-2</v>
      </c>
      <c r="Q28" s="7">
        <v>5.65</v>
      </c>
      <c r="S28" s="4">
        <v>222</v>
      </c>
      <c r="T28" s="5">
        <f t="shared" si="2"/>
        <v>58815.187610619461</v>
      </c>
      <c r="U28" s="5">
        <f t="shared" si="3"/>
        <v>3728.8690265486725</v>
      </c>
      <c r="V28" s="5">
        <f t="shared" si="4"/>
        <v>0</v>
      </c>
      <c r="W28" s="8">
        <f t="shared" si="13"/>
        <v>14</v>
      </c>
      <c r="X28" s="8">
        <f t="shared" si="14"/>
        <v>11</v>
      </c>
      <c r="Y28" s="5">
        <f t="shared" si="7"/>
        <v>1716.6017699115041</v>
      </c>
      <c r="Z28" s="5">
        <f t="shared" si="8"/>
        <v>705782.25132743351</v>
      </c>
      <c r="AA28" s="6">
        <f t="shared" si="11"/>
        <v>4.954954954954955E-2</v>
      </c>
      <c r="AB28" s="6">
        <f t="shared" si="12"/>
        <v>2.9186369025567142E-2</v>
      </c>
    </row>
    <row r="29" spans="3:28" ht="15.6" x14ac:dyDescent="0.35">
      <c r="C29" s="2">
        <v>2025</v>
      </c>
      <c r="D29" s="3" t="s">
        <v>13</v>
      </c>
      <c r="F29" s="4">
        <v>225</v>
      </c>
      <c r="G29" s="5">
        <v>343456.5</v>
      </c>
      <c r="H29" s="5">
        <v>17199.400000000001</v>
      </c>
      <c r="I29" s="5">
        <v>1200</v>
      </c>
      <c r="J29" s="5">
        <v>10</v>
      </c>
      <c r="K29" s="5">
        <v>10</v>
      </c>
      <c r="L29" s="5">
        <v>7248.61</v>
      </c>
      <c r="M29" s="5">
        <f t="shared" si="0"/>
        <v>4121478</v>
      </c>
      <c r="N29" s="6">
        <f t="shared" si="9"/>
        <v>4.4444444444444446E-2</v>
      </c>
      <c r="O29" s="6">
        <f t="shared" si="10"/>
        <v>2.1104885189245217E-2</v>
      </c>
      <c r="Q29" s="7">
        <v>5.65</v>
      </c>
      <c r="S29" s="4">
        <v>225</v>
      </c>
      <c r="T29" s="5">
        <f t="shared" si="2"/>
        <v>60788.761061946898</v>
      </c>
      <c r="U29" s="5">
        <f t="shared" si="3"/>
        <v>3044.141592920354</v>
      </c>
      <c r="V29" s="5">
        <f t="shared" si="4"/>
        <v>212.38938053097343</v>
      </c>
      <c r="W29" s="8">
        <f t="shared" si="13"/>
        <v>10</v>
      </c>
      <c r="X29" s="8">
        <f t="shared" si="14"/>
        <v>10</v>
      </c>
      <c r="Y29" s="5">
        <f t="shared" si="7"/>
        <v>1282.9398230088493</v>
      </c>
      <c r="Z29" s="5">
        <f t="shared" si="8"/>
        <v>729465.1327433628</v>
      </c>
      <c r="AA29" s="6">
        <f t="shared" si="11"/>
        <v>4.4444444444444446E-2</v>
      </c>
      <c r="AB29" s="6">
        <f t="shared" si="12"/>
        <v>2.1104885189245214E-2</v>
      </c>
    </row>
    <row r="30" spans="3:28" ht="15.6" x14ac:dyDescent="0.35">
      <c r="C30" s="2">
        <v>2025</v>
      </c>
      <c r="D30" s="3" t="s">
        <v>38</v>
      </c>
      <c r="F30" s="4">
        <v>221</v>
      </c>
      <c r="G30" s="5">
        <v>338253.9</v>
      </c>
      <c r="H30" s="5">
        <v>2847</v>
      </c>
      <c r="I30" s="5">
        <v>2250</v>
      </c>
      <c r="J30" s="5">
        <v>1</v>
      </c>
      <c r="K30" s="5">
        <v>10</v>
      </c>
      <c r="L30" s="5">
        <v>11499.6</v>
      </c>
      <c r="M30" s="5">
        <f t="shared" si="0"/>
        <v>4059046.8000000003</v>
      </c>
      <c r="N30" s="6">
        <f t="shared" si="9"/>
        <v>4.5248868778280542E-2</v>
      </c>
      <c r="O30" s="6">
        <f t="shared" si="10"/>
        <v>3.3996947263579221E-2</v>
      </c>
      <c r="Q30" s="7">
        <v>5.65</v>
      </c>
      <c r="S30" s="4">
        <v>221</v>
      </c>
      <c r="T30" s="5">
        <f t="shared" si="2"/>
        <v>59867.946902654869</v>
      </c>
      <c r="U30" s="5">
        <f t="shared" si="3"/>
        <v>503.89380530973449</v>
      </c>
      <c r="V30" s="5">
        <f t="shared" si="4"/>
        <v>398.23008849557522</v>
      </c>
      <c r="W30" s="8">
        <f t="shared" si="13"/>
        <v>1</v>
      </c>
      <c r="X30" s="8">
        <f t="shared" si="14"/>
        <v>10</v>
      </c>
      <c r="Y30" s="5">
        <f t="shared" si="7"/>
        <v>2035.3274336283184</v>
      </c>
      <c r="Z30" s="5">
        <f t="shared" si="8"/>
        <v>718415.36283185845</v>
      </c>
      <c r="AA30" s="6">
        <f t="shared" si="11"/>
        <v>4.5248868778280542E-2</v>
      </c>
      <c r="AB30" s="6">
        <f t="shared" si="12"/>
        <v>3.3996947263579221E-2</v>
      </c>
    </row>
    <row r="31" spans="3:28" ht="15.6" x14ac:dyDescent="0.35">
      <c r="C31" s="2">
        <v>2025</v>
      </c>
      <c r="D31" s="3" t="s">
        <v>39</v>
      </c>
      <c r="F31" s="4">
        <v>226</v>
      </c>
      <c r="G31" s="5">
        <v>375176.9</v>
      </c>
      <c r="H31" s="5">
        <v>30353</v>
      </c>
      <c r="I31" s="5">
        <v>6570</v>
      </c>
      <c r="J31" s="5">
        <v>15</v>
      </c>
      <c r="K31" s="5">
        <v>3</v>
      </c>
      <c r="L31" s="5">
        <v>3500</v>
      </c>
      <c r="M31" s="5">
        <f t="shared" si="0"/>
        <v>4502122.8000000007</v>
      </c>
      <c r="N31" s="6">
        <f t="shared" si="9"/>
        <v>1.3274336283185841E-2</v>
      </c>
      <c r="O31" s="6">
        <f t="shared" si="10"/>
        <v>9.3289325648780608E-3</v>
      </c>
      <c r="Q31" s="7">
        <v>5.65</v>
      </c>
      <c r="S31" s="4">
        <v>226</v>
      </c>
      <c r="T31" s="5">
        <f t="shared" si="2"/>
        <v>66402.991150442482</v>
      </c>
      <c r="U31" s="5">
        <f t="shared" si="3"/>
        <v>5372.212389380531</v>
      </c>
      <c r="V31" s="5">
        <f t="shared" si="4"/>
        <v>1162.8318584070796</v>
      </c>
      <c r="W31" s="8">
        <f t="shared" si="13"/>
        <v>15</v>
      </c>
      <c r="X31" s="8">
        <f t="shared" si="14"/>
        <v>3</v>
      </c>
      <c r="Y31" s="5">
        <f t="shared" si="7"/>
        <v>619.46902654867256</v>
      </c>
      <c r="Z31" s="5">
        <f t="shared" si="8"/>
        <v>796835.89380530978</v>
      </c>
      <c r="AA31" s="6">
        <f t="shared" si="11"/>
        <v>1.3274336283185841E-2</v>
      </c>
      <c r="AB31" s="6">
        <f t="shared" si="12"/>
        <v>9.3289325648780608E-3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Cunha Jr.</dc:creator>
  <cp:lastModifiedBy>Marcus Cunha Jr.</cp:lastModifiedBy>
  <dcterms:created xsi:type="dcterms:W3CDTF">2025-05-29T22:48:51Z</dcterms:created>
  <dcterms:modified xsi:type="dcterms:W3CDTF">2025-05-30T15:37:58Z</dcterms:modified>
</cp:coreProperties>
</file>